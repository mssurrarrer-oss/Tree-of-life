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Task Tracker" sheetId="1" state="visible" r:id="rId1"/>
    <sheet xmlns:r="http://schemas.openxmlformats.org/officeDocument/2006/relationships" name="Corpus Intake Checklist" sheetId="2" state="visible" r:id="rId2"/>
    <sheet xmlns:r="http://schemas.openxmlformats.org/officeDocument/2006/relationships" name="Annot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DD, YYYY"/>
    <numFmt numFmtId="165" formatCode="yyyy-mm-dd"/>
    <numFmt numFmtId="166" formatCode="0.0%"/>
  </numFmts>
  <fonts count="20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  <sz val="10"/>
    </font>
    <font>
      <sz val="9"/>
    </font>
    <font>
      <b val="1"/>
    </font>
    <font>
      <b val="1"/>
      <color rgb="00375623"/>
    </font>
    <font>
      <color rgb="00555555"/>
    </font>
    <font>
      <b val="1"/>
      <color rgb="009C0006"/>
    </font>
    <font>
      <b val="1"/>
      <color rgb="00833C00"/>
    </font>
    <font>
      <b val="1"/>
      <color rgb="00174060"/>
    </font>
    <font>
      <b val="1"/>
      <color rgb="009C5700"/>
    </font>
    <font>
      <b val="1"/>
      <color rgb="004A235A"/>
    </font>
    <font>
      <b val="1"/>
      <color rgb="0078350F"/>
    </font>
    <font>
      <sz val="13"/>
    </font>
    <font>
      <b val="1"/>
      <color rgb="00FFFFFF"/>
      <sz val="13"/>
    </font>
    <font>
      <b val="1"/>
      <color rgb="00FFFFFF"/>
      <sz val="11"/>
    </font>
    <font>
      <b val="1"/>
      <color rgb="005C4A00"/>
      <sz val="9"/>
    </font>
    <font>
      <b val="1"/>
      <color rgb="009C5700"/>
      <sz val="9"/>
    </font>
    <font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E0E0E0"/>
        <bgColor rgb="00E0E0E0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EAF2FB"/>
        <bgColor rgb="00EAF2FB"/>
      </patternFill>
    </fill>
    <fill>
      <patternFill patternType="solid">
        <fgColor rgb="00FFEB9C"/>
        <bgColor rgb="00FFEB9C"/>
      </patternFill>
    </fill>
    <fill>
      <patternFill patternType="solid">
        <fgColor rgb="00EDE7F6"/>
        <bgColor rgb="00EDE7F6"/>
      </patternFill>
    </fill>
    <fill>
      <patternFill patternType="solid">
        <fgColor rgb="00FEF3C7"/>
        <bgColor rgb="00FEF3C7"/>
      </patternFill>
    </fill>
    <fill>
      <patternFill patternType="solid">
        <fgColor rgb="00FFF9C4"/>
        <bgColor rgb="00FFF9C4"/>
      </patternFill>
    </fill>
  </fills>
  <borders count="26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/>
    </xf>
    <xf numFmtId="0" fontId="6" fillId="5" borderId="6" applyAlignment="1" pivotButton="0" quotePrefix="0" xfId="0">
      <alignment horizontal="center"/>
    </xf>
    <xf numFmtId="0" fontId="4" fillId="4" borderId="6" applyAlignment="1" pivotButton="0" quotePrefix="0" xfId="0">
      <alignment vertical="center" wrapText="1"/>
    </xf>
    <xf numFmtId="164" fontId="4" fillId="4" borderId="6" applyAlignment="1" pivotButton="0" quotePrefix="0" xfId="0">
      <alignment horizontal="center"/>
    </xf>
    <xf numFmtId="0" fontId="4" fillId="4" borderId="6" applyAlignment="1" pivotButton="0" quotePrefix="0" xfId="0">
      <alignment horizontal="center"/>
    </xf>
    <xf numFmtId="0" fontId="7" fillId="6" borderId="6" applyAlignment="1" pivotButton="0" quotePrefix="0" xfId="0">
      <alignment horizontal="center"/>
    </xf>
    <xf numFmtId="0" fontId="8" fillId="7" borderId="6" applyAlignment="1" pivotButton="0" quotePrefix="0" xfId="0">
      <alignment horizontal="center"/>
    </xf>
    <xf numFmtId="0" fontId="4" fillId="4" borderId="7" applyAlignment="1" pivotButton="0" quotePrefix="0" xfId="0">
      <alignment vertical="center" wrapText="1"/>
    </xf>
    <xf numFmtId="0" fontId="5" fillId="8" borderId="8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4" fillId="8" borderId="4" applyAlignment="1" pivotButton="0" quotePrefix="0" xfId="0">
      <alignment vertical="center" wrapText="1"/>
    </xf>
    <xf numFmtId="164" fontId="4" fillId="8" borderId="4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7" fillId="6" borderId="4" applyAlignment="1" pivotButton="0" quotePrefix="0" xfId="0">
      <alignment horizontal="center"/>
    </xf>
    <xf numFmtId="0" fontId="8" fillId="7" borderId="4" applyAlignment="1" pivotButton="0" quotePrefix="0" xfId="0">
      <alignment horizontal="center"/>
    </xf>
    <xf numFmtId="0" fontId="4" fillId="8" borderId="9" applyAlignment="1" pivotButton="0" quotePrefix="0" xfId="0">
      <alignment vertical="center" wrapText="1"/>
    </xf>
    <xf numFmtId="0" fontId="5" fillId="4" borderId="8" applyAlignment="1" pivotButton="0" quotePrefix="0" xfId="0">
      <alignment horizontal="center"/>
    </xf>
    <xf numFmtId="0" fontId="9" fillId="9" borderId="4" applyAlignment="1" pivotButton="0" quotePrefix="0" xfId="0">
      <alignment horizontal="center"/>
    </xf>
    <xf numFmtId="0" fontId="4" fillId="4" borderId="4" applyAlignment="1" pivotButton="0" quotePrefix="0" xfId="0">
      <alignment vertical="center" wrapText="1"/>
    </xf>
    <xf numFmtId="164" fontId="4" fillId="4" borderId="4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4" borderId="9" applyAlignment="1" pivotButton="0" quotePrefix="0" xfId="0">
      <alignment vertical="center" wrapText="1"/>
    </xf>
    <xf numFmtId="0" fontId="10" fillId="10" borderId="4" applyAlignment="1" pivotButton="0" quotePrefix="0" xfId="0">
      <alignment horizontal="center"/>
    </xf>
    <xf numFmtId="0" fontId="11" fillId="11" borderId="4" applyAlignment="1" pivotButton="0" quotePrefix="0" xfId="0">
      <alignment horizontal="center"/>
    </xf>
    <xf numFmtId="0" fontId="12" fillId="12" borderId="4" applyAlignment="1" pivotButton="0" quotePrefix="0" xfId="0">
      <alignment horizontal="center"/>
    </xf>
    <xf numFmtId="0" fontId="13" fillId="13" borderId="4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13" fillId="13" borderId="11" applyAlignment="1" pivotButton="0" quotePrefix="0" xfId="0">
      <alignment horizontal="center"/>
    </xf>
    <xf numFmtId="0" fontId="4" fillId="4" borderId="11" applyAlignment="1" pivotButton="0" quotePrefix="0" xfId="0">
      <alignment vertical="center" wrapText="1"/>
    </xf>
    <xf numFmtId="164" fontId="4" fillId="4" borderId="11" applyAlignment="1" pivotButton="0" quotePrefix="0" xfId="0">
      <alignment horizontal="center"/>
    </xf>
    <xf numFmtId="0" fontId="4" fillId="4" borderId="11" applyAlignment="1" pivotButton="0" quotePrefix="0" xfId="0">
      <alignment horizontal="center"/>
    </xf>
    <xf numFmtId="0" fontId="7" fillId="6" borderId="11" applyAlignment="1" pivotButton="0" quotePrefix="0" xfId="0">
      <alignment horizontal="center"/>
    </xf>
    <xf numFmtId="0" fontId="11" fillId="11" borderId="11" applyAlignment="1" pivotButton="0" quotePrefix="0" xfId="0">
      <alignment horizontal="center"/>
    </xf>
    <xf numFmtId="0" fontId="4" fillId="4" borderId="12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164" fontId="4" fillId="4" borderId="6" applyAlignment="1" pivotButton="0" quotePrefix="0" xfId="0">
      <alignment horizontal="center"/>
    </xf>
    <xf numFmtId="164" fontId="4" fillId="8" borderId="4" applyAlignment="1" pivotButton="0" quotePrefix="0" xfId="0">
      <alignment horizontal="center"/>
    </xf>
    <xf numFmtId="164" fontId="4" fillId="4" borderId="4" applyAlignment="1" pivotButton="0" quotePrefix="0" xfId="0">
      <alignment horizontal="center"/>
    </xf>
    <xf numFmtId="164" fontId="4" fillId="4" borderId="11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/>
    </xf>
    <xf numFmtId="0" fontId="14" fillId="8" borderId="4" applyAlignment="1" pivotButton="0" quotePrefix="0" xfId="0">
      <alignment horizontal="center"/>
    </xf>
    <xf numFmtId="0" fontId="5" fillId="8" borderId="10" applyAlignment="1" pivotButton="0" quotePrefix="0" xfId="0">
      <alignment horizontal="center"/>
    </xf>
    <xf numFmtId="0" fontId="4" fillId="8" borderId="11" applyAlignment="1" pivotButton="0" quotePrefix="0" xfId="0">
      <alignment vertical="center" wrapText="1"/>
    </xf>
    <xf numFmtId="0" fontId="14" fillId="8" borderId="11" applyAlignment="1" pivotButton="0" quotePrefix="0" xfId="0">
      <alignment horizontal="center"/>
    </xf>
    <xf numFmtId="0" fontId="4" fillId="8" borderId="12" applyAlignment="1" pivotButton="0" quotePrefix="0" xfId="0">
      <alignment vertical="center" wrapText="1"/>
    </xf>
    <xf numFmtId="0" fontId="15" fillId="2" borderId="0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0" fontId="8" fillId="8" borderId="8" applyAlignment="1" pivotButton="0" quotePrefix="0" xfId="0">
      <alignment horizontal="center"/>
    </xf>
    <xf numFmtId="0" fontId="5" fillId="8" borderId="4" applyAlignment="1" pivotButton="0" quotePrefix="0" xfId="0">
      <alignment horizontal="center"/>
    </xf>
    <xf numFmtId="0" fontId="8" fillId="4" borderId="10" applyAlignment="1" pivotButton="0" quotePrefix="0" xfId="0">
      <alignment horizontal="center"/>
    </xf>
    <xf numFmtId="0" fontId="5" fillId="4" borderId="11" applyAlignment="1" pivotButton="0" quotePrefix="0" xfId="0">
      <alignment horizontal="center"/>
    </xf>
    <xf numFmtId="0" fontId="14" fillId="4" borderId="11" applyAlignment="1" pivotButton="0" quotePrefix="0" xfId="0">
      <alignment horizontal="center"/>
    </xf>
    <xf numFmtId="0" fontId="16" fillId="3" borderId="20" applyAlignment="1" pivotButton="0" quotePrefix="0" xfId="0">
      <alignment horizontal="center" vertical="center"/>
    </xf>
    <xf numFmtId="0" fontId="16" fillId="3" borderId="21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7" fillId="14" borderId="4" applyAlignment="1" pivotButton="0" quotePrefix="0" xfId="0">
      <alignment horizontal="right" vertical="center"/>
    </xf>
    <xf numFmtId="0" fontId="18" fillId="11" borderId="4" applyAlignment="1" pivotButton="0" quotePrefix="0" xfId="0">
      <alignment horizontal="left" vertical="center"/>
    </xf>
    <xf numFmtId="164" fontId="5" fillId="4" borderId="8" applyAlignment="1" pivotButton="0" quotePrefix="0" xfId="0">
      <alignment horizontal="center"/>
    </xf>
    <xf numFmtId="166" fontId="4" fillId="4" borderId="4" applyAlignment="1" pivotButton="0" quotePrefix="0" xfId="0">
      <alignment horizontal="center"/>
    </xf>
    <xf numFmtId="164" fontId="5" fillId="8" borderId="8" applyAlignment="1" pivotButton="0" quotePrefix="0" xfId="0">
      <alignment horizontal="center"/>
    </xf>
    <xf numFmtId="166" fontId="4" fillId="8" borderId="4" applyAlignment="1" pivotButton="0" quotePrefix="0" xfId="0">
      <alignment horizontal="center"/>
    </xf>
    <xf numFmtId="0" fontId="19" fillId="2" borderId="10" applyAlignment="1" pivotButton="0" quotePrefix="0" xfId="0">
      <alignment horizontal="center"/>
    </xf>
    <xf numFmtId="0" fontId="19" fillId="2" borderId="11" applyAlignment="1" pivotButton="0" quotePrefix="0" xfId="0">
      <alignment horizontal="center"/>
    </xf>
    <xf numFmtId="0" fontId="19" fillId="2" borderId="1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18" customWidth="1" min="4" max="4"/>
    <col width="14" customWidth="1" min="5" max="5"/>
    <col width="14" customWidth="1" min="6" max="6"/>
    <col width="12" customWidth="1" min="7" max="7"/>
    <col width="13" customWidth="1" min="8" max="8"/>
    <col width="10" customWidth="1" min="9" max="9"/>
    <col width="14" customWidth="1" min="10" max="10"/>
    <col width="44" customWidth="1" min="11" max="11"/>
  </cols>
  <sheetData>
    <row r="1" ht="36" customHeight="1">
      <c r="A1" s="1" t="inlineStr">
        <is>
          <t>Navigator — Sprint 1 Project Tracker</t>
        </is>
      </c>
    </row>
    <row r="2" ht="22" customHeight="1">
      <c r="A2" s="2" t="inlineStr">
        <is>
          <t>Data Extraction, Annotation &amp; Validation Set Build  |  Jul 28 – Aug 11, 2026</t>
        </is>
      </c>
    </row>
    <row r="3" ht="30" customHeight="1">
      <c r="A3" s="3" t="inlineStr">
        <is>
          <t>Task ID</t>
        </is>
      </c>
      <c r="B3" s="4" t="inlineStr">
        <is>
          <t>Phase</t>
        </is>
      </c>
      <c r="C3" s="4" t="inlineStr">
        <is>
          <t>Task</t>
        </is>
      </c>
      <c r="D3" s="4" t="inlineStr">
        <is>
          <t>Owner</t>
        </is>
      </c>
      <c r="E3" s="4" t="inlineStr">
        <is>
          <t>Start Date</t>
        </is>
      </c>
      <c r="F3" s="4" t="inlineStr">
        <is>
          <t>Due Date</t>
        </is>
      </c>
      <c r="G3" s="4" t="inlineStr">
        <is>
          <t>Duration (days)</t>
        </is>
      </c>
      <c r="H3" s="4" t="inlineStr">
        <is>
          <t>Status</t>
        </is>
      </c>
      <c r="I3" s="4" t="inlineStr">
        <is>
          <t>Priority</t>
        </is>
      </c>
      <c r="J3" s="4" t="inlineStr">
        <is>
          <t>Dependencies</t>
        </is>
      </c>
      <c r="K3" s="5" t="inlineStr">
        <is>
          <t>Notes</t>
        </is>
      </c>
    </row>
    <row r="4" ht="42" customHeight="1">
      <c r="A4" s="6" t="inlineStr">
        <is>
          <t>T01</t>
        </is>
      </c>
      <c r="B4" s="7" t="inlineStr">
        <is>
          <t>Corpus Intake</t>
        </is>
      </c>
      <c r="C4" s="8" t="inlineStr">
        <is>
          <t>Export conversation threads from source system</t>
        </is>
      </c>
      <c r="D4" s="8" t="inlineStr">
        <is>
          <t>Michael</t>
        </is>
      </c>
      <c r="E4" s="44" t="n">
        <v>46231</v>
      </c>
      <c r="F4" s="44" t="n">
        <v>46232</v>
      </c>
      <c r="G4" s="10" t="n">
        <v>2</v>
      </c>
      <c r="H4" s="11" t="inlineStr">
        <is>
          <t>Not Started</t>
        </is>
      </c>
      <c r="I4" s="12" t="inlineStr">
        <is>
          <t>P0</t>
        </is>
      </c>
      <c r="J4" s="10" t="inlineStr">
        <is>
          <t>—</t>
        </is>
      </c>
      <c r="K4" s="13" t="inlineStr">
        <is>
          <t>Deliver as JSON or CSV to data-pipeline/raw/</t>
        </is>
      </c>
    </row>
    <row r="5" ht="42" customHeight="1">
      <c r="A5" s="14" t="inlineStr">
        <is>
          <t>T02</t>
        </is>
      </c>
      <c r="B5" s="15" t="inlineStr">
        <is>
          <t>Corpus Intake</t>
        </is>
      </c>
      <c r="C5" s="16" t="inlineStr">
        <is>
          <t>Review raw corpus format and write intake parser</t>
        </is>
      </c>
      <c r="D5" s="16" t="inlineStr">
        <is>
          <t>Navigator</t>
        </is>
      </c>
      <c r="E5" s="45" t="n">
        <v>46231</v>
      </c>
      <c r="F5" s="45" t="n">
        <v>46233</v>
      </c>
      <c r="G5" s="18" t="n">
        <v>3</v>
      </c>
      <c r="H5" s="19" t="inlineStr">
        <is>
          <t>Not Started</t>
        </is>
      </c>
      <c r="I5" s="20" t="inlineStr">
        <is>
          <t>P0</t>
        </is>
      </c>
      <c r="J5" s="18" t="inlineStr">
        <is>
          <t>T01</t>
        </is>
      </c>
      <c r="K5" s="21" t="inlineStr">
        <is>
          <t>Output: data-pipeline/src/intake.py</t>
        </is>
      </c>
    </row>
    <row r="6" ht="42" customHeight="1">
      <c r="A6" s="22" t="inlineStr">
        <is>
          <t>T03</t>
        </is>
      </c>
      <c r="B6" s="23" t="inlineStr">
        <is>
          <t>Privacy &amp; PII</t>
        </is>
      </c>
      <c r="C6" s="24" t="inlineStr">
        <is>
          <t>Run automated PII scan (regex + Presidio)</t>
        </is>
      </c>
      <c r="D6" s="24" t="inlineStr">
        <is>
          <t>Navigator</t>
        </is>
      </c>
      <c r="E6" s="46" t="n">
        <v>46233</v>
      </c>
      <c r="F6" s="46" t="n">
        <v>46234</v>
      </c>
      <c r="G6" s="26" t="n">
        <v>2</v>
      </c>
      <c r="H6" s="19" t="inlineStr">
        <is>
          <t>Not Started</t>
        </is>
      </c>
      <c r="I6" s="20" t="inlineStr">
        <is>
          <t>P0</t>
        </is>
      </c>
      <c r="J6" s="26" t="inlineStr">
        <is>
          <t>T01</t>
        </is>
      </c>
      <c r="K6" s="27" t="inlineStr">
        <is>
          <t>Flag all turns where pii_present=True</t>
        </is>
      </c>
    </row>
    <row r="7" ht="42" customHeight="1">
      <c r="A7" s="14" t="inlineStr">
        <is>
          <t>T04</t>
        </is>
      </c>
      <c r="B7" s="23" t="inlineStr">
        <is>
          <t>Privacy &amp; PII</t>
        </is>
      </c>
      <c r="C7" s="16" t="inlineStr">
        <is>
          <t>Manual review of PII-flagged turns</t>
        </is>
      </c>
      <c r="D7" s="16" t="inlineStr">
        <is>
          <t>Michael</t>
        </is>
      </c>
      <c r="E7" s="45" t="n">
        <v>46234</v>
      </c>
      <c r="F7" s="45" t="n">
        <v>46235</v>
      </c>
      <c r="G7" s="18" t="n">
        <v>2</v>
      </c>
      <c r="H7" s="19" t="inlineStr">
        <is>
          <t>Not Started</t>
        </is>
      </c>
      <c r="I7" s="20" t="inlineStr">
        <is>
          <t>P0</t>
        </is>
      </c>
      <c r="J7" s="18" t="inlineStr">
        <is>
          <t>T03</t>
        </is>
      </c>
      <c r="K7" s="21" t="inlineStr">
        <is>
          <t>Approve redaction or exclude</t>
        </is>
      </c>
    </row>
    <row r="8" ht="42" customHeight="1">
      <c r="A8" s="22" t="inlineStr">
        <is>
          <t>T05</t>
        </is>
      </c>
      <c r="B8" s="23" t="inlineStr">
        <is>
          <t>Privacy &amp; PII</t>
        </is>
      </c>
      <c r="C8" s="24" t="inlineStr">
        <is>
          <t>Apply redaction pass and export clean corpus</t>
        </is>
      </c>
      <c r="D8" s="24" t="inlineStr">
        <is>
          <t>Navigator</t>
        </is>
      </c>
      <c r="E8" s="46" t="n">
        <v>46235</v>
      </c>
      <c r="F8" s="46" t="n">
        <v>46236</v>
      </c>
      <c r="G8" s="26" t="n">
        <v>2</v>
      </c>
      <c r="H8" s="19" t="inlineStr">
        <is>
          <t>Not Started</t>
        </is>
      </c>
      <c r="I8" s="20" t="inlineStr">
        <is>
          <t>P0</t>
        </is>
      </c>
      <c r="J8" s="26" t="inlineStr">
        <is>
          <t>T04</t>
        </is>
      </c>
      <c r="K8" s="27" t="inlineStr">
        <is>
          <t>Output: data-pipeline/processed/clean_corpus.jsonl</t>
        </is>
      </c>
    </row>
    <row r="9" ht="42" customHeight="1">
      <c r="A9" s="14" t="inlineStr">
        <is>
          <t>T06</t>
        </is>
      </c>
      <c r="B9" s="28" t="inlineStr">
        <is>
          <t>Annotation</t>
        </is>
      </c>
      <c r="C9" s="16" t="inlineStr">
        <is>
          <t>Run calibration session (20-turn calibration set)</t>
        </is>
      </c>
      <c r="D9" s="16" t="inlineStr">
        <is>
          <t>Navigator + Michael</t>
        </is>
      </c>
      <c r="E9" s="45" t="n">
        <v>46236</v>
      </c>
      <c r="F9" s="45" t="n">
        <v>46237</v>
      </c>
      <c r="G9" s="18" t="n">
        <v>2</v>
      </c>
      <c r="H9" s="19" t="inlineStr">
        <is>
          <t>Not Started</t>
        </is>
      </c>
      <c r="I9" s="20" t="inlineStr">
        <is>
          <t>P0</t>
        </is>
      </c>
      <c r="J9" s="18" t="inlineStr">
        <is>
          <t>T05</t>
        </is>
      </c>
      <c r="K9" s="21" t="inlineStr">
        <is>
          <t>Establish baseline inter-rater agreement</t>
        </is>
      </c>
    </row>
    <row r="10" ht="42" customHeight="1">
      <c r="A10" s="22" t="inlineStr">
        <is>
          <t>T07</t>
        </is>
      </c>
      <c r="B10" s="28" t="inlineStr">
        <is>
          <t>Annotation</t>
        </is>
      </c>
      <c r="C10" s="24" t="inlineStr">
        <is>
          <t>Annotate first 1,000 turns (Train batch 1)</t>
        </is>
      </c>
      <c r="D10" s="24" t="inlineStr">
        <is>
          <t>Navigator</t>
        </is>
      </c>
      <c r="E10" s="46" t="n">
        <v>46237</v>
      </c>
      <c r="F10" s="46" t="n">
        <v>46240</v>
      </c>
      <c r="G10" s="26" t="n">
        <v>4</v>
      </c>
      <c r="H10" s="19" t="inlineStr">
        <is>
          <t>Not Started</t>
        </is>
      </c>
      <c r="I10" s="20" t="inlineStr">
        <is>
          <t>P0</t>
        </is>
      </c>
      <c r="J10" s="26" t="inlineStr">
        <is>
          <t>T06</t>
        </is>
      </c>
      <c r="K10" s="27" t="inlineStr">
        <is>
          <t>Target exemplar_quality ≥ 3 for all</t>
        </is>
      </c>
    </row>
    <row r="11" ht="42" customHeight="1">
      <c r="A11" s="14" t="inlineStr">
        <is>
          <t>T08</t>
        </is>
      </c>
      <c r="B11" s="28" t="inlineStr">
        <is>
          <t>Annotation</t>
        </is>
      </c>
      <c r="C11" s="16" t="inlineStr">
        <is>
          <t>Inter-rater reliability check (Cohen's Kappa)</t>
        </is>
      </c>
      <c r="D11" s="16" t="inlineStr">
        <is>
          <t>Navigator</t>
        </is>
      </c>
      <c r="E11" s="45" t="n">
        <v>46240</v>
      </c>
      <c r="F11" s="45" t="n">
        <v>46241</v>
      </c>
      <c r="G11" s="18" t="n">
        <v>1</v>
      </c>
      <c r="H11" s="19" t="inlineStr">
        <is>
          <t>Not Started</t>
        </is>
      </c>
      <c r="I11" s="20" t="inlineStr">
        <is>
          <t>P0</t>
        </is>
      </c>
      <c r="J11" s="18" t="inlineStr">
        <is>
          <t>T07</t>
        </is>
      </c>
      <c r="K11" s="21" t="inlineStr">
        <is>
          <t>Gate: Kappa ≥ 0.70 per dimension</t>
        </is>
      </c>
    </row>
    <row r="12" ht="42" customHeight="1">
      <c r="A12" s="22" t="inlineStr">
        <is>
          <t>T09</t>
        </is>
      </c>
      <c r="B12" s="28" t="inlineStr">
        <is>
          <t>Annotation</t>
        </is>
      </c>
      <c r="C12" s="24" t="inlineStr">
        <is>
          <t>Remediate low-confidence turns (confidence=1)</t>
        </is>
      </c>
      <c r="D12" s="24" t="inlineStr">
        <is>
          <t>Navigator</t>
        </is>
      </c>
      <c r="E12" s="46" t="n">
        <v>46241</v>
      </c>
      <c r="F12" s="46" t="n">
        <v>46242</v>
      </c>
      <c r="G12" s="26" t="n">
        <v>2</v>
      </c>
      <c r="H12" s="19" t="inlineStr">
        <is>
          <t>Not Started</t>
        </is>
      </c>
      <c r="I12" s="29" t="inlineStr">
        <is>
          <t>P1</t>
        </is>
      </c>
      <c r="J12" s="26" t="inlineStr">
        <is>
          <t>T08</t>
        </is>
      </c>
      <c r="K12" s="27" t="inlineStr">
        <is>
          <t>Re-annotate flagged turns</t>
        </is>
      </c>
    </row>
    <row r="13" ht="42" customHeight="1">
      <c r="A13" s="14" t="inlineStr">
        <is>
          <t>T10</t>
        </is>
      </c>
      <c r="B13" s="30" t="inlineStr">
        <is>
          <t>Dataset Build</t>
        </is>
      </c>
      <c r="C13" s="16" t="inlineStr">
        <is>
          <t>Stratified split (Train/Val/Test/Human-Eval)</t>
        </is>
      </c>
      <c r="D13" s="16" t="inlineStr">
        <is>
          <t>Navigator</t>
        </is>
      </c>
      <c r="E13" s="45" t="n">
        <v>46242</v>
      </c>
      <c r="F13" s="45" t="n">
        <v>46243</v>
      </c>
      <c r="G13" s="18" t="n">
        <v>2</v>
      </c>
      <c r="H13" s="19" t="inlineStr">
        <is>
          <t>Not Started</t>
        </is>
      </c>
      <c r="I13" s="20" t="inlineStr">
        <is>
          <t>P0</t>
        </is>
      </c>
      <c r="J13" s="18" t="inlineStr">
        <is>
          <t>T07</t>
        </is>
      </c>
      <c r="K13" s="21" t="inlineStr">
        <is>
          <t>70/10/10/10 per schema</t>
        </is>
      </c>
    </row>
    <row r="14" ht="42" customHeight="1">
      <c r="A14" s="22" t="inlineStr">
        <is>
          <t>T11</t>
        </is>
      </c>
      <c r="B14" s="30" t="inlineStr">
        <is>
          <t>Dataset Build</t>
        </is>
      </c>
      <c r="C14" s="24" t="inlineStr">
        <is>
          <t>Format splits to JSONL (chat_completion format)</t>
        </is>
      </c>
      <c r="D14" s="24" t="inlineStr">
        <is>
          <t>Navigator</t>
        </is>
      </c>
      <c r="E14" s="46" t="n">
        <v>46243</v>
      </c>
      <c r="F14" s="46" t="n">
        <v>46244</v>
      </c>
      <c r="G14" s="26" t="n">
        <v>2</v>
      </c>
      <c r="H14" s="19" t="inlineStr">
        <is>
          <t>Not Started</t>
        </is>
      </c>
      <c r="I14" s="20" t="inlineStr">
        <is>
          <t>P0</t>
        </is>
      </c>
      <c r="J14" s="26" t="inlineStr">
        <is>
          <t>T10</t>
        </is>
      </c>
      <c r="K14" s="27" t="inlineStr">
        <is>
          <t>Output: data-pipeline/splits/*.jsonl</t>
        </is>
      </c>
    </row>
    <row r="15" ht="42" customHeight="1">
      <c r="A15" s="14" t="inlineStr">
        <is>
          <t>T12</t>
        </is>
      </c>
      <c r="B15" s="30" t="inlineStr">
        <is>
          <t>Dataset Build</t>
        </is>
      </c>
      <c r="C15" s="16" t="inlineStr">
        <is>
          <t>Run schema validation CI check</t>
        </is>
      </c>
      <c r="D15" s="16" t="inlineStr">
        <is>
          <t>Navigator</t>
        </is>
      </c>
      <c r="E15" s="45" t="n">
        <v>46244</v>
      </c>
      <c r="F15" s="45" t="n">
        <v>46244</v>
      </c>
      <c r="G15" s="18" t="n">
        <v>1</v>
      </c>
      <c r="H15" s="19" t="inlineStr">
        <is>
          <t>Not Started</t>
        </is>
      </c>
      <c r="I15" s="20" t="inlineStr">
        <is>
          <t>P0</t>
        </is>
      </c>
      <c r="J15" s="18" t="inlineStr">
        <is>
          <t>T11</t>
        </is>
      </c>
      <c r="K15" s="21" t="inlineStr">
        <is>
          <t>All splits must pass validate_schemas.py</t>
        </is>
      </c>
    </row>
    <row r="16" ht="42" customHeight="1">
      <c r="A16" s="22" t="inlineStr">
        <is>
          <t>T13</t>
        </is>
      </c>
      <c r="B16" s="30" t="inlineStr">
        <is>
          <t>Dataset Build</t>
        </is>
      </c>
      <c r="C16" s="24" t="inlineStr">
        <is>
          <t>Export human-eval set (sealed, separate folder)</t>
        </is>
      </c>
      <c r="D16" s="24" t="inlineStr">
        <is>
          <t>Navigator</t>
        </is>
      </c>
      <c r="E16" s="46" t="n">
        <v>46244</v>
      </c>
      <c r="F16" s="46" t="n">
        <v>46245</v>
      </c>
      <c r="G16" s="26" t="n">
        <v>1</v>
      </c>
      <c r="H16" s="19" t="inlineStr">
        <is>
          <t>Not Started</t>
        </is>
      </c>
      <c r="I16" s="20" t="inlineStr">
        <is>
          <t>P0</t>
        </is>
      </c>
      <c r="J16" s="26" t="inlineStr">
        <is>
          <t>T11</t>
        </is>
      </c>
      <c r="K16" s="27" t="inlineStr">
        <is>
          <t>Never used in training; access-controlled</t>
        </is>
      </c>
    </row>
    <row r="17" ht="42" customHeight="1">
      <c r="A17" s="14" t="inlineStr">
        <is>
          <t>T14</t>
        </is>
      </c>
      <c r="B17" s="31" t="inlineStr">
        <is>
          <t>Sprint Review</t>
        </is>
      </c>
      <c r="C17" s="16" t="inlineStr">
        <is>
          <t>Sprint 1 review and Sprint 2 readiness gate</t>
        </is>
      </c>
      <c r="D17" s="16" t="inlineStr">
        <is>
          <t>Michael + Navigator</t>
        </is>
      </c>
      <c r="E17" s="45" t="n">
        <v>46245</v>
      </c>
      <c r="F17" s="45" t="n">
        <v>46245</v>
      </c>
      <c r="G17" s="18" t="n">
        <v>1</v>
      </c>
      <c r="H17" s="19" t="inlineStr">
        <is>
          <t>Not Started</t>
        </is>
      </c>
      <c r="I17" s="20" t="inlineStr">
        <is>
          <t>P0</t>
        </is>
      </c>
      <c r="J17" s="18" t="inlineStr">
        <is>
          <t>All</t>
        </is>
      </c>
      <c r="K17" s="21" t="inlineStr">
        <is>
          <t>Check: corpus size ≥ 1,000 annotated turns; Kappa ≥ 0.70; 0 PII leaks</t>
        </is>
      </c>
    </row>
    <row r="18" ht="42" customHeight="1">
      <c r="A18" s="32" t="inlineStr">
        <is>
          <t>T15</t>
        </is>
      </c>
      <c r="B18" s="33" t="inlineStr">
        <is>
          <t>Sprint Review</t>
        </is>
      </c>
      <c r="C18" s="34" t="inlineStr">
        <is>
          <t>Update README and merge sprint/1 to main</t>
        </is>
      </c>
      <c r="D18" s="34" t="inlineStr">
        <is>
          <t>Navigator</t>
        </is>
      </c>
      <c r="E18" s="47" t="n">
        <v>46245</v>
      </c>
      <c r="F18" s="47" t="n">
        <v>46245</v>
      </c>
      <c r="G18" s="36" t="n">
        <v>1</v>
      </c>
      <c r="H18" s="37" t="inlineStr">
        <is>
          <t>Not Started</t>
        </is>
      </c>
      <c r="I18" s="38" t="inlineStr">
        <is>
          <t>P1</t>
        </is>
      </c>
      <c r="J18" s="36" t="inlineStr">
        <is>
          <t>T14</t>
        </is>
      </c>
      <c r="K18" s="39" t="inlineStr">
        <is>
          <t>Tag release: v0.2.0-sprint1</t>
        </is>
      </c>
    </row>
    <row r="19" ht="28" customHeight="1">
      <c r="A19" s="40" t="inlineStr">
        <is>
          <t>SUMMARY</t>
        </is>
      </c>
      <c r="B19" s="41" t="inlineStr">
        <is>
          <t>Total Tasks: 15</t>
        </is>
      </c>
      <c r="C19" s="41" t="inlineStr">
        <is>
          <t>P0 Tasks: 12</t>
        </is>
      </c>
      <c r="D19" s="41" t="inlineStr">
        <is>
          <t>P1 Tasks: 3</t>
        </is>
      </c>
      <c r="E19" s="41" t="inlineStr">
        <is>
          <t>P2 Tasks: 0</t>
        </is>
      </c>
      <c r="F19" s="41" t="inlineStr">
        <is>
          <t>Sprint Duration: 14 days</t>
        </is>
      </c>
      <c r="G19" s="43" t="inlineStr">
        <is>
          <t>Jul 28 – Aug 11, 2026</t>
        </is>
      </c>
      <c r="H19" s="48" t="n"/>
      <c r="I19" s="48" t="n"/>
      <c r="J19" s="48" t="n"/>
      <c r="K19" s="49" t="n"/>
    </row>
  </sheetData>
  <mergeCells count="3">
    <mergeCell ref="A2:K2"/>
    <mergeCell ref="A1:K1"/>
    <mergeCell ref="G19:K19"/>
  </mergeCells>
  <dataValidations count="1">
    <dataValidation sqref="H4:H18" showDropDown="0" showInputMessage="0" showErrorMessage="0" allowBlank="1" type="list">
      <formula1>"Not Started,In Progress,Done,Blocked,Deferred"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52" customWidth="1" min="3" max="3"/>
    <col width="9" customWidth="1" min="4" max="4"/>
    <col width="38" customWidth="1" min="5" max="5"/>
  </cols>
  <sheetData>
    <row r="1" ht="36" customHeight="1">
      <c r="A1" s="1" t="inlineStr">
        <is>
          <t>Corpus Intake Checklist — Sprint 1</t>
        </is>
      </c>
    </row>
    <row r="2" ht="22" customHeight="1">
      <c r="A2" s="2" t="inlineStr">
        <is>
          <t>Complete before T01 due date (Jul 29) — Owner: Michael</t>
        </is>
      </c>
    </row>
    <row r="3" ht="28" customHeight="1">
      <c r="A3" s="50" t="inlineStr">
        <is>
          <t>#</t>
        </is>
      </c>
      <c r="B3" s="51" t="inlineStr">
        <is>
          <t>Requirement</t>
        </is>
      </c>
      <c r="C3" s="51" t="inlineStr">
        <is>
          <t>Format / Detail</t>
        </is>
      </c>
      <c r="D3" s="51" t="inlineStr">
        <is>
          <t>Status</t>
        </is>
      </c>
      <c r="E3" s="52" t="inlineStr">
        <is>
          <t>Notes</t>
        </is>
      </c>
    </row>
    <row r="4" ht="44" customHeight="1">
      <c r="A4" s="22" t="inlineStr">
        <is>
          <t>1</t>
        </is>
      </c>
      <c r="B4" s="24" t="inlineStr">
        <is>
          <t>Conversation export format</t>
        </is>
      </c>
      <c r="C4" s="24" t="inlineStr">
        <is>
          <t>JSON or CSV with fields: conversation_id, turn_id, user_message, model_response, timestamp</t>
        </is>
      </c>
      <c r="D4" s="53" t="inlineStr">
        <is>
          <t>☐</t>
        </is>
      </c>
      <c r="E4" s="27" t="inlineStr"/>
    </row>
    <row r="5" ht="44" customHeight="1">
      <c r="A5" s="14" t="inlineStr">
        <is>
          <t>2</t>
        </is>
      </c>
      <c r="B5" s="16" t="inlineStr">
        <is>
          <t>Minimum corpus size</t>
        </is>
      </c>
      <c r="C5" s="16" t="inlineStr">
        <is>
          <t>At least 1,500 turns for Sprint 1 annotation batch</t>
        </is>
      </c>
      <c r="D5" s="54" t="inlineStr">
        <is>
          <t>☐</t>
        </is>
      </c>
      <c r="E5" s="21" t="inlineStr"/>
    </row>
    <row r="6" ht="44" customHeight="1">
      <c r="A6" s="22" t="inlineStr">
        <is>
          <t>3</t>
        </is>
      </c>
      <c r="B6" s="24" t="inlineStr">
        <is>
          <t>Conversation diversity</t>
        </is>
      </c>
      <c r="C6" s="24" t="inlineStr">
        <is>
          <t>Includes at least 3 of: code requests, planning, research, explanation, clarification turns</t>
        </is>
      </c>
      <c r="D6" s="53" t="inlineStr">
        <is>
          <t>☐</t>
        </is>
      </c>
      <c r="E6" s="27" t="inlineStr"/>
    </row>
    <row r="7" ht="44" customHeight="1">
      <c r="A7" s="14" t="inlineStr">
        <is>
          <t>4</t>
        </is>
      </c>
      <c r="B7" s="16" t="inlineStr">
        <is>
          <t>No pre-existing PII</t>
        </is>
      </c>
      <c r="C7" s="16" t="inlineStr">
        <is>
          <t>Do a first-pass review before delivering; Navigator will do a second automated pass</t>
        </is>
      </c>
      <c r="D7" s="54" t="inlineStr">
        <is>
          <t>☐</t>
        </is>
      </c>
      <c r="E7" s="21" t="inlineStr"/>
    </row>
    <row r="8" ht="44" customHeight="1">
      <c r="A8" s="22" t="inlineStr">
        <is>
          <t>5</t>
        </is>
      </c>
      <c r="B8" s="24" t="inlineStr">
        <is>
          <t>Timestamps present</t>
        </is>
      </c>
      <c r="C8" s="24" t="inlineStr">
        <is>
          <t>ISO 8601 format preferred</t>
        </is>
      </c>
      <c r="D8" s="53" t="inlineStr">
        <is>
          <t>☐</t>
        </is>
      </c>
      <c r="E8" s="27" t="inlineStr"/>
    </row>
    <row r="9" ht="44" customHeight="1">
      <c r="A9" s="14" t="inlineStr">
        <is>
          <t>6</t>
        </is>
      </c>
      <c r="B9" s="16" t="inlineStr">
        <is>
          <t>Outcome signals (optional)</t>
        </is>
      </c>
      <c r="C9" s="16" t="inlineStr">
        <is>
          <t>Follow-up messages, ratings, or thumbs up/down if available</t>
        </is>
      </c>
      <c r="D9" s="54" t="inlineStr">
        <is>
          <t>☐</t>
        </is>
      </c>
      <c r="E9" s="21" t="inlineStr"/>
    </row>
    <row r="10" ht="44" customHeight="1">
      <c r="A10" s="22" t="inlineStr">
        <is>
          <t>7</t>
        </is>
      </c>
      <c r="B10" s="24" t="inlineStr">
        <is>
          <t>Source system identified</t>
        </is>
      </c>
      <c r="C10" s="24" t="inlineStr">
        <is>
          <t>Note which system the conversations came from (e.g., Copilot, GPT-4, internal)</t>
        </is>
      </c>
      <c r="D10" s="53" t="inlineStr">
        <is>
          <t>☐</t>
        </is>
      </c>
      <c r="E10" s="27" t="inlineStr"/>
    </row>
    <row r="11" ht="44" customHeight="1">
      <c r="A11" s="14" t="inlineStr">
        <is>
          <t>8</t>
        </is>
      </c>
      <c r="B11" s="16" t="inlineStr">
        <is>
          <t>Delivery location</t>
        </is>
      </c>
      <c r="C11" s="16" t="inlineStr">
        <is>
          <t>Drop files to: D:\AI-Hub\Knowledge\Inbox\sprint1-corpus\</t>
        </is>
      </c>
      <c r="D11" s="54" t="inlineStr">
        <is>
          <t>☐</t>
        </is>
      </c>
      <c r="E11" s="21" t="inlineStr"/>
    </row>
    <row r="12" ht="44" customHeight="1">
      <c r="A12" s="22" t="inlineStr">
        <is>
          <t>9</t>
        </is>
      </c>
      <c r="B12" s="24" t="inlineStr">
        <is>
          <t>Access granted to Navigator</t>
        </is>
      </c>
      <c r="C12" s="24" t="inlineStr">
        <is>
          <t>Shared or copied to agreed working location</t>
        </is>
      </c>
      <c r="D12" s="53" t="inlineStr">
        <is>
          <t>☐</t>
        </is>
      </c>
      <c r="E12" s="27" t="inlineStr"/>
    </row>
    <row r="13" ht="44" customHeight="1">
      <c r="A13" s="55" t="inlineStr">
        <is>
          <t>10</t>
        </is>
      </c>
      <c r="B13" s="56" t="inlineStr">
        <is>
          <t>Michael sign-off</t>
        </is>
      </c>
      <c r="C13" s="56" t="inlineStr">
        <is>
          <t>Confirm corpus is ready for intake</t>
        </is>
      </c>
      <c r="D13" s="57" t="inlineStr">
        <is>
          <t>☐</t>
        </is>
      </c>
      <c r="E13" s="58" t="inlineStr"/>
    </row>
    <row r="14"/>
    <row r="15" ht="28" customHeight="1">
      <c r="A15" s="59" t="inlineStr">
        <is>
          <t>Sprint 1 Acceptance Criteria</t>
        </is>
      </c>
    </row>
    <row r="16" ht="28" customHeight="1">
      <c r="A16" s="50" t="inlineStr">
        <is>
          <t>Gate</t>
        </is>
      </c>
      <c r="B16" s="51" t="inlineStr">
        <is>
          <t>Criterion</t>
        </is>
      </c>
      <c r="C16" s="51" t="inlineStr">
        <is>
          <t>Target</t>
        </is>
      </c>
      <c r="D16" s="51" t="inlineStr">
        <is>
          <t>Status</t>
        </is>
      </c>
      <c r="E16" s="52" t="inlineStr">
        <is>
          <t>Notes</t>
        </is>
      </c>
    </row>
    <row r="17" ht="36" customHeight="1">
      <c r="A17" s="60" t="inlineStr">
        <is>
          <t>S1-G1</t>
        </is>
      </c>
      <c r="B17" s="24" t="inlineStr">
        <is>
          <t>Annotated turns in Train split</t>
        </is>
      </c>
      <c r="C17" s="61" t="inlineStr">
        <is>
          <t>≥ 1,000</t>
        </is>
      </c>
      <c r="D17" s="53" t="inlineStr">
        <is>
          <t>☐</t>
        </is>
      </c>
      <c r="E17" s="27" t="inlineStr">
        <is>
          <t>Minimum for viable Sprint 2 finetune</t>
        </is>
      </c>
    </row>
    <row r="18" ht="36" customHeight="1">
      <c r="A18" s="62" t="inlineStr">
        <is>
          <t>S1-G2</t>
        </is>
      </c>
      <c r="B18" s="16" t="inlineStr">
        <is>
          <t>Inter-rater Cohen's Kappa (all dims)</t>
        </is>
      </c>
      <c r="C18" s="63" t="inlineStr">
        <is>
          <t>≥ 0.70</t>
        </is>
      </c>
      <c r="D18" s="54" t="inlineStr">
        <is>
          <t>☐</t>
        </is>
      </c>
      <c r="E18" s="21" t="inlineStr">
        <is>
          <t>Required for annotation quality</t>
        </is>
      </c>
    </row>
    <row r="19" ht="36" customHeight="1">
      <c r="A19" s="60" t="inlineStr">
        <is>
          <t>S1-G3</t>
        </is>
      </c>
      <c r="B19" s="24" t="inlineStr">
        <is>
          <t>PII leak rate in clean corpus</t>
        </is>
      </c>
      <c r="C19" s="61" t="inlineStr">
        <is>
          <t>0.00%</t>
        </is>
      </c>
      <c r="D19" s="53" t="inlineStr">
        <is>
          <t>☐</t>
        </is>
      </c>
      <c r="E19" s="27" t="inlineStr">
        <is>
          <t>Zero tolerance</t>
        </is>
      </c>
    </row>
    <row r="20" ht="36" customHeight="1">
      <c r="A20" s="62" t="inlineStr">
        <is>
          <t>S1-G4</t>
        </is>
      </c>
      <c r="B20" s="16" t="inlineStr">
        <is>
          <t>Exemplar quality avg (Train)</t>
        </is>
      </c>
      <c r="C20" s="63" t="inlineStr">
        <is>
          <t>≥ 3.2 / 5.0</t>
        </is>
      </c>
      <c r="D20" s="54" t="inlineStr">
        <is>
          <t>☐</t>
        </is>
      </c>
      <c r="E20" s="21" t="inlineStr">
        <is>
          <t>Minimum quality bar</t>
        </is>
      </c>
    </row>
    <row r="21" ht="36" customHeight="1">
      <c r="A21" s="64" t="inlineStr">
        <is>
          <t>S1-G5</t>
        </is>
      </c>
      <c r="B21" s="34" t="inlineStr">
        <is>
          <t>Schema validation pass rate</t>
        </is>
      </c>
      <c r="C21" s="65" t="inlineStr">
        <is>
          <t>100%</t>
        </is>
      </c>
      <c r="D21" s="66" t="inlineStr">
        <is>
          <t>☐</t>
        </is>
      </c>
      <c r="E21" s="39" t="inlineStr">
        <is>
          <t>All JSONL records valid against schema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3" customWidth="1" min="5" max="5"/>
    <col width="14" customWidth="1" min="6" max="6"/>
    <col width="14" customWidth="1" min="7" max="7"/>
    <col width="34" customWidth="1" min="8" max="8"/>
  </cols>
  <sheetData>
    <row r="1" ht="36" customHeight="1">
      <c r="A1" s="1" t="inlineStr">
        <is>
          <t>Sprint 1 — Annotation Progress Log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2" t="inlineStr">
        <is>
          <t>Running log updated daily  |  Target: 1,000 turns annotated by Aug 6, 2026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 ht="26" customHeight="1">
      <c r="A4" s="67" t="inlineStr">
        <is>
          <t>SPRINT SUMMARY</t>
        </is>
      </c>
      <c r="B4" s="68" t="n"/>
      <c r="C4" s="68" t="n"/>
      <c r="D4" s="68" t="n"/>
      <c r="E4" s="68" t="n"/>
      <c r="F4" s="68" t="n"/>
      <c r="G4" s="68" t="n"/>
      <c r="H4" s="69" t="n"/>
    </row>
    <row r="5" ht="26" customHeight="1">
      <c r="A5" s="70" t="inlineStr">
        <is>
          <t>Target Turns:</t>
        </is>
      </c>
      <c r="B5" s="71" t="inlineStr">
        <is>
          <t>1,000</t>
        </is>
      </c>
      <c r="C5" s="70" t="inlineStr">
        <is>
          <t>Days Allocated:</t>
        </is>
      </c>
      <c r="D5" s="71" t="inlineStr">
        <is>
          <t>4  (Aug 3 – Aug 6)</t>
        </is>
      </c>
      <c r="E5" s="70" t="inlineStr">
        <is>
          <t>Required Daily Pace:</t>
        </is>
      </c>
      <c r="F5" s="71" t="inlineStr">
        <is>
          <t>250 turns / day</t>
        </is>
      </c>
      <c r="G5" s="70" t="inlineStr">
        <is>
          <t>Kappa Gate:</t>
        </is>
      </c>
      <c r="H5" s="71" t="inlineStr">
        <is>
          <t>≥ 0.70</t>
        </is>
      </c>
    </row>
    <row r="6" ht="10" customHeight="1"/>
    <row r="7" ht="36" customHeight="1">
      <c r="A7" s="3" t="inlineStr">
        <is>
          <t>Date</t>
        </is>
      </c>
      <c r="B7" s="4" t="inlineStr">
        <is>
          <t>Annotator</t>
        </is>
      </c>
      <c r="C7" s="4" t="inlineStr">
        <is>
          <t>Turns Completed (Today)</t>
        </is>
      </c>
      <c r="D7" s="4" t="inlineStr">
        <is>
          <t>Cumulative Total</t>
        </is>
      </c>
      <c r="E7" s="4" t="inlineStr">
        <is>
          <t>% of Target</t>
        </is>
      </c>
      <c r="F7" s="4" t="inlineStr">
        <is>
          <t>Kappa (Latest)</t>
        </is>
      </c>
      <c r="G7" s="4" t="inlineStr">
        <is>
          <t>Issues Flagged</t>
        </is>
      </c>
      <c r="H7" s="5" t="inlineStr">
        <is>
          <t>Notes</t>
        </is>
      </c>
    </row>
    <row r="8" ht="36" customHeight="1">
      <c r="A8" s="72" t="n">
        <v>46237</v>
      </c>
      <c r="B8" s="24" t="inlineStr"/>
      <c r="C8" s="26" t="inlineStr"/>
      <c r="D8" s="26">
        <f>IF(C8="","",SUM($C$8:C8))</f>
        <v/>
      </c>
      <c r="E8" s="73">
        <f>IF(D8="","",D8/1000)</f>
        <v/>
      </c>
      <c r="F8" s="26" t="inlineStr"/>
      <c r="G8" s="26" t="inlineStr"/>
      <c r="H8" s="27" t="inlineStr"/>
    </row>
    <row r="9" ht="36" customHeight="1">
      <c r="A9" s="74" t="n">
        <v>46238</v>
      </c>
      <c r="B9" s="16" t="inlineStr"/>
      <c r="C9" s="18" t="inlineStr"/>
      <c r="D9" s="18">
        <f>IF(C9="","",SUM($C$8:C9))</f>
        <v/>
      </c>
      <c r="E9" s="75">
        <f>IF(D9="","",D9/1000)</f>
        <v/>
      </c>
      <c r="F9" s="18" t="inlineStr"/>
      <c r="G9" s="18" t="inlineStr"/>
      <c r="H9" s="21" t="inlineStr"/>
    </row>
    <row r="10" ht="36" customHeight="1">
      <c r="A10" s="72" t="n">
        <v>46239</v>
      </c>
      <c r="B10" s="24" t="inlineStr"/>
      <c r="C10" s="26" t="inlineStr"/>
      <c r="D10" s="26">
        <f>IF(C10="","",SUM($C$8:C10))</f>
        <v/>
      </c>
      <c r="E10" s="73">
        <f>IF(D10="","",D10/1000)</f>
        <v/>
      </c>
      <c r="F10" s="26" t="inlineStr"/>
      <c r="G10" s="26" t="inlineStr"/>
      <c r="H10" s="27" t="inlineStr"/>
    </row>
    <row r="11" ht="36" customHeight="1">
      <c r="A11" s="74" t="n">
        <v>46240</v>
      </c>
      <c r="B11" s="16" t="inlineStr"/>
      <c r="C11" s="18" t="inlineStr"/>
      <c r="D11" s="18">
        <f>IF(C11="","",SUM($C$8:C11))</f>
        <v/>
      </c>
      <c r="E11" s="75">
        <f>IF(D11="","",D11/1000)</f>
        <v/>
      </c>
      <c r="F11" s="18" t="inlineStr"/>
      <c r="G11" s="18" t="inlineStr"/>
      <c r="H11" s="21" t="inlineStr"/>
    </row>
    <row r="12" ht="28" customHeight="1">
      <c r="A12" s="76" t="inlineStr">
        <is>
          <t>Target</t>
        </is>
      </c>
      <c r="B12" s="77" t="inlineStr">
        <is>
          <t>—</t>
        </is>
      </c>
      <c r="C12" s="77" t="inlineStr">
        <is>
          <t>—</t>
        </is>
      </c>
      <c r="D12" s="77" t="n">
        <v>1000</v>
      </c>
      <c r="E12" s="77" t="inlineStr">
        <is>
          <t>100%</t>
        </is>
      </c>
      <c r="F12" s="77" t="inlineStr">
        <is>
          <t>≥ 0.70</t>
        </is>
      </c>
      <c r="G12" s="77" t="inlineStr">
        <is>
          <t>—</t>
        </is>
      </c>
      <c r="H12" s="78" t="inlineStr">
        <is>
          <t>Sprint 1 gate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2026-07-28T18:38:08Z</dcterms:created>
  <dcterms:modified xmlns:dcterms="http://purl.org/dc/terms/" xmlns:xsi="http://www.w3.org/2001/XMLSchema-instance" xsi:type="dcterms:W3CDTF">2026-07-28T18:39:11Z</dcterms:modified>
</cp:coreProperties>
</file>